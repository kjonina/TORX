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rina\Portfolio\TORX\TOR330 Data\4. TOR330 Timetable Data\"/>
    </mc:Choice>
  </mc:AlternateContent>
  <xr:revisionPtr revIDLastSave="0" documentId="13_ncr:1_{3256A2C1-EE4C-4E14-8F10-6F5146C3ED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1" l="1"/>
  <c r="E40" i="1"/>
  <c r="D41" i="1"/>
  <c r="D40" i="1"/>
</calcChain>
</file>

<file path=xl/sharedStrings.xml><?xml version="1.0" encoding="utf-8"?>
<sst xmlns="http://schemas.openxmlformats.org/spreadsheetml/2006/main" count="125" uniqueCount="71">
  <si>
    <t>Aid Station</t>
  </si>
  <si>
    <t>distance
from START
(km)</t>
  </si>
  <si>
    <t>D+
from START (m)</t>
  </si>
  <si>
    <t>Aid Station Distance (km)</t>
  </si>
  <si>
    <t>Aid Station Elevation Gain (m)</t>
  </si>
  <si>
    <t>Checkpoint</t>
  </si>
  <si>
    <t>Checkpoint Duration_seconds</t>
  </si>
  <si>
    <t>Stage</t>
  </si>
  <si>
    <t>Running Total Checkpoint Duration_seconds</t>
  </si>
  <si>
    <t>Baite Youlaz</t>
  </si>
  <si>
    <t>La Thuile</t>
  </si>
  <si>
    <t>Rifugio Deffeyes</t>
  </si>
  <si>
    <t>Planaval</t>
  </si>
  <si>
    <t>Valgrisenche IN</t>
  </si>
  <si>
    <t>Valgrisenche OUT</t>
  </si>
  <si>
    <t>Chalet Epee</t>
  </si>
  <si>
    <t>Rhemes-Notre-Dame</t>
  </si>
  <si>
    <t>Eaux Rousse</t>
  </si>
  <si>
    <t>Rifugio Sella</t>
  </si>
  <si>
    <t>Cogne IN</t>
  </si>
  <si>
    <t>Cogne OUT</t>
  </si>
  <si>
    <t>Goilles</t>
  </si>
  <si>
    <t>Rifugio Dondena</t>
  </si>
  <si>
    <t>Chardonney</t>
  </si>
  <si>
    <t>Pontboset</t>
  </si>
  <si>
    <t>Donnas IN</t>
  </si>
  <si>
    <t>Donnas OUT</t>
  </si>
  <si>
    <t>Perloz</t>
  </si>
  <si>
    <t>Sassa</t>
  </si>
  <si>
    <t>Rifugio Coda</t>
  </si>
  <si>
    <t>Rifugio della Barma</t>
  </si>
  <si>
    <t>Lago Chiaro</t>
  </si>
  <si>
    <t>Col della Vecchia</t>
  </si>
  <si>
    <t>Niel La Gruba</t>
  </si>
  <si>
    <t>Loo</t>
  </si>
  <si>
    <t>Gressoney IN</t>
  </si>
  <si>
    <t>Gressoney OUT</t>
  </si>
  <si>
    <t>Rifugio Alpenzu</t>
  </si>
  <si>
    <t>Champoluc</t>
  </si>
  <si>
    <t>Rifugio Grand Tournalin</t>
  </si>
  <si>
    <t>Valtournenche IN</t>
  </si>
  <si>
    <t>Valtournenche OUT</t>
  </si>
  <si>
    <t>Rifugio Barmasse</t>
  </si>
  <si>
    <t>Vareton</t>
  </si>
  <si>
    <t>Rifugio Magià</t>
  </si>
  <si>
    <t>Rifugio Cuney</t>
  </si>
  <si>
    <t>Bivacco R. Clermont</t>
  </si>
  <si>
    <t>Bruson Arp</t>
  </si>
  <si>
    <t>Ollomont IN</t>
  </si>
  <si>
    <t>Ollomont OUT</t>
  </si>
  <si>
    <t>Rifugio Champillon</t>
  </si>
  <si>
    <t>Ponteille Desot</t>
  </si>
  <si>
    <t>Bosses</t>
  </si>
  <si>
    <t>Rifugio Frassati</t>
  </si>
  <si>
    <t>Pas Entre Deux Sauts</t>
  </si>
  <si>
    <t>Monte de la Saxe</t>
  </si>
  <si>
    <t>FINISH</t>
  </si>
  <si>
    <t>Stage 1</t>
  </si>
  <si>
    <t>Time Spent in Valgrisenche</t>
  </si>
  <si>
    <t>Stage 2</t>
  </si>
  <si>
    <t>Time Spent in Cogne</t>
  </si>
  <si>
    <t>Stage 3</t>
  </si>
  <si>
    <t>Time Spent in Donnas</t>
  </si>
  <si>
    <t>Stage 4</t>
  </si>
  <si>
    <t>Time Spent in Gressoney</t>
  </si>
  <si>
    <t>Stage 5</t>
  </si>
  <si>
    <t>Time Spent in Valtournenche</t>
  </si>
  <si>
    <t>Stage 6</t>
  </si>
  <si>
    <t>Time Spent in Ollomont</t>
  </si>
  <si>
    <t>Stage 7</t>
  </si>
  <si>
    <t>Oyace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</si>
</sst>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topLeftCell="A14" workbookViewId="0">
      <selection activeCell="E40" sqref="E40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12.83</v>
      </c>
      <c r="C2">
        <v>1467</v>
      </c>
      <c r="D2">
        <v>0</v>
      </c>
      <c r="E2">
        <v>0</v>
      </c>
      <c r="H2" t="s">
        <v>57</v>
      </c>
    </row>
    <row r="3" spans="1:9" x14ac:dyDescent="0.25">
      <c r="A3" t="s">
        <v>10</v>
      </c>
      <c r="B3">
        <v>18.98</v>
      </c>
      <c r="C3">
        <v>1602</v>
      </c>
      <c r="D3">
        <v>6.15</v>
      </c>
      <c r="E3">
        <v>135</v>
      </c>
      <c r="F3" t="s">
        <v>10</v>
      </c>
      <c r="G3">
        <v>19800</v>
      </c>
      <c r="H3" t="s">
        <v>57</v>
      </c>
      <c r="I3">
        <v>19800</v>
      </c>
    </row>
    <row r="4" spans="1:9" x14ac:dyDescent="0.25">
      <c r="A4" t="s">
        <v>11</v>
      </c>
      <c r="B4">
        <v>27.86</v>
      </c>
      <c r="C4">
        <v>2828</v>
      </c>
      <c r="D4">
        <v>8.879999999999999</v>
      </c>
      <c r="E4">
        <v>1226</v>
      </c>
      <c r="H4" t="s">
        <v>57</v>
      </c>
    </row>
    <row r="5" spans="1:9" x14ac:dyDescent="0.25">
      <c r="A5" t="s">
        <v>12</v>
      </c>
      <c r="B5">
        <v>42.78</v>
      </c>
      <c r="C5">
        <v>4048</v>
      </c>
      <c r="D5">
        <v>14.92</v>
      </c>
      <c r="E5">
        <v>1220</v>
      </c>
      <c r="H5" t="s">
        <v>57</v>
      </c>
    </row>
    <row r="6" spans="1:9" x14ac:dyDescent="0.25">
      <c r="A6" t="s">
        <v>13</v>
      </c>
      <c r="B6">
        <v>48.55</v>
      </c>
      <c r="C6">
        <v>4339</v>
      </c>
      <c r="D6">
        <v>5.769999999999996</v>
      </c>
      <c r="E6">
        <v>291</v>
      </c>
      <c r="F6" t="s">
        <v>13</v>
      </c>
      <c r="G6">
        <v>48600</v>
      </c>
      <c r="H6" t="s">
        <v>57</v>
      </c>
      <c r="I6">
        <v>68400</v>
      </c>
    </row>
    <row r="7" spans="1:9" x14ac:dyDescent="0.25">
      <c r="A7" t="s">
        <v>14</v>
      </c>
      <c r="B7">
        <v>48.55</v>
      </c>
      <c r="C7">
        <v>4339</v>
      </c>
      <c r="D7">
        <v>0</v>
      </c>
      <c r="E7">
        <v>0</v>
      </c>
      <c r="F7" t="s">
        <v>14</v>
      </c>
      <c r="G7">
        <v>7200</v>
      </c>
      <c r="H7" t="s">
        <v>58</v>
      </c>
      <c r="I7">
        <v>75600</v>
      </c>
    </row>
    <row r="8" spans="1:9" x14ac:dyDescent="0.25">
      <c r="A8" t="s">
        <v>15</v>
      </c>
      <c r="B8">
        <v>54.89</v>
      </c>
      <c r="C8">
        <v>5176</v>
      </c>
      <c r="D8">
        <v>6.3400000000000034</v>
      </c>
      <c r="E8">
        <v>837</v>
      </c>
      <c r="H8" t="s">
        <v>59</v>
      </c>
    </row>
    <row r="9" spans="1:9" x14ac:dyDescent="0.25">
      <c r="A9" t="s">
        <v>16</v>
      </c>
      <c r="B9">
        <v>62.86</v>
      </c>
      <c r="C9">
        <v>5750</v>
      </c>
      <c r="D9">
        <v>7.9699999999999989</v>
      </c>
      <c r="E9">
        <v>574</v>
      </c>
      <c r="H9" t="s">
        <v>59</v>
      </c>
    </row>
    <row r="10" spans="1:9" x14ac:dyDescent="0.25">
      <c r="A10" t="s">
        <v>17</v>
      </c>
      <c r="B10">
        <v>78.260000000000005</v>
      </c>
      <c r="C10">
        <v>7174</v>
      </c>
      <c r="D10">
        <v>15.400000000000009</v>
      </c>
      <c r="E10">
        <v>1424</v>
      </c>
      <c r="F10" t="s">
        <v>17</v>
      </c>
      <c r="G10">
        <v>45000</v>
      </c>
      <c r="H10" t="s">
        <v>59</v>
      </c>
      <c r="I10">
        <v>120600</v>
      </c>
    </row>
    <row r="11" spans="1:9" x14ac:dyDescent="0.25">
      <c r="A11" t="s">
        <v>18</v>
      </c>
      <c r="B11">
        <v>95.16</v>
      </c>
      <c r="C11">
        <v>9126</v>
      </c>
      <c r="D11">
        <v>16.899999999999991</v>
      </c>
      <c r="E11">
        <v>1952</v>
      </c>
      <c r="H11" t="s">
        <v>59</v>
      </c>
    </row>
    <row r="12" spans="1:9" x14ac:dyDescent="0.25">
      <c r="A12" t="s">
        <v>19</v>
      </c>
      <c r="B12">
        <v>104</v>
      </c>
      <c r="C12">
        <v>9282</v>
      </c>
      <c r="D12">
        <v>8.8400000000000034</v>
      </c>
      <c r="E12">
        <v>156</v>
      </c>
      <c r="F12" t="s">
        <v>19</v>
      </c>
      <c r="G12">
        <v>30600</v>
      </c>
      <c r="H12" t="s">
        <v>59</v>
      </c>
      <c r="I12">
        <v>151200</v>
      </c>
    </row>
    <row r="13" spans="1:9" x14ac:dyDescent="0.25">
      <c r="A13" t="s">
        <v>20</v>
      </c>
      <c r="B13">
        <v>104</v>
      </c>
      <c r="C13">
        <v>9282</v>
      </c>
      <c r="D13">
        <v>0</v>
      </c>
      <c r="E13">
        <v>0</v>
      </c>
      <c r="F13" t="s">
        <v>20</v>
      </c>
      <c r="G13">
        <v>7200</v>
      </c>
      <c r="H13" t="s">
        <v>60</v>
      </c>
      <c r="I13">
        <v>158400</v>
      </c>
    </row>
    <row r="14" spans="1:9" x14ac:dyDescent="0.25">
      <c r="A14" t="s">
        <v>21</v>
      </c>
      <c r="B14">
        <v>109.78</v>
      </c>
      <c r="C14">
        <v>9801</v>
      </c>
      <c r="D14">
        <v>5.7800000000000011</v>
      </c>
      <c r="E14">
        <v>519</v>
      </c>
      <c r="H14" t="s">
        <v>61</v>
      </c>
    </row>
    <row r="15" spans="1:9" x14ac:dyDescent="0.25">
      <c r="A15" t="s">
        <v>22</v>
      </c>
      <c r="B15">
        <v>125.95</v>
      </c>
      <c r="C15">
        <v>11020</v>
      </c>
      <c r="D15">
        <v>16.170000000000002</v>
      </c>
      <c r="E15">
        <v>1219</v>
      </c>
      <c r="H15" t="s">
        <v>61</v>
      </c>
    </row>
    <row r="16" spans="1:9" x14ac:dyDescent="0.25">
      <c r="A16" t="s">
        <v>23</v>
      </c>
      <c r="B16">
        <v>131.44999999999999</v>
      </c>
      <c r="C16">
        <v>11110</v>
      </c>
      <c r="D16">
        <v>5.4999999999999858</v>
      </c>
      <c r="E16">
        <v>90</v>
      </c>
      <c r="H16" t="s">
        <v>61</v>
      </c>
    </row>
    <row r="17" spans="1:9" x14ac:dyDescent="0.25">
      <c r="A17" t="s">
        <v>24</v>
      </c>
      <c r="B17">
        <v>139.36000000000001</v>
      </c>
      <c r="C17">
        <v>11353</v>
      </c>
      <c r="D17">
        <v>7.910000000000025</v>
      </c>
      <c r="E17">
        <v>243</v>
      </c>
      <c r="H17" t="s">
        <v>61</v>
      </c>
    </row>
    <row r="18" spans="1:9" x14ac:dyDescent="0.25">
      <c r="A18" t="s">
        <v>25</v>
      </c>
      <c r="B18">
        <v>149.77000000000001</v>
      </c>
      <c r="C18">
        <v>12050</v>
      </c>
      <c r="D18">
        <v>10.41</v>
      </c>
      <c r="E18">
        <v>697</v>
      </c>
      <c r="F18" t="s">
        <v>25</v>
      </c>
      <c r="G18">
        <v>64800.000000000007</v>
      </c>
      <c r="H18" t="s">
        <v>61</v>
      </c>
      <c r="I18">
        <v>223200</v>
      </c>
    </row>
    <row r="19" spans="1:9" x14ac:dyDescent="0.25">
      <c r="A19" t="s">
        <v>26</v>
      </c>
      <c r="B19">
        <v>149.77000000000001</v>
      </c>
      <c r="C19">
        <v>12050</v>
      </c>
      <c r="D19">
        <v>0</v>
      </c>
      <c r="E19">
        <v>0</v>
      </c>
      <c r="F19" t="s">
        <v>26</v>
      </c>
      <c r="G19">
        <v>7200</v>
      </c>
      <c r="H19" t="s">
        <v>62</v>
      </c>
      <c r="I19">
        <v>230400</v>
      </c>
    </row>
    <row r="20" spans="1:9" x14ac:dyDescent="0.25">
      <c r="A20" t="s">
        <v>27</v>
      </c>
      <c r="B20">
        <v>155.56</v>
      </c>
      <c r="C20">
        <v>12695</v>
      </c>
      <c r="D20">
        <v>5.789999999999992</v>
      </c>
      <c r="E20">
        <v>645</v>
      </c>
      <c r="H20" t="s">
        <v>63</v>
      </c>
    </row>
    <row r="21" spans="1:9" x14ac:dyDescent="0.25">
      <c r="A21" t="s">
        <v>28</v>
      </c>
      <c r="B21">
        <v>162.87</v>
      </c>
      <c r="C21">
        <v>13935</v>
      </c>
      <c r="D21">
        <v>7.3100000000000023</v>
      </c>
      <c r="E21">
        <v>1240</v>
      </c>
      <c r="H21" t="s">
        <v>63</v>
      </c>
    </row>
    <row r="22" spans="1:9" x14ac:dyDescent="0.25">
      <c r="A22" t="s">
        <v>29</v>
      </c>
      <c r="B22">
        <v>167.31</v>
      </c>
      <c r="C22">
        <v>14814</v>
      </c>
      <c r="D22">
        <v>4.4399999999999977</v>
      </c>
      <c r="E22">
        <v>879</v>
      </c>
      <c r="H22" t="s">
        <v>63</v>
      </c>
    </row>
    <row r="23" spans="1:9" x14ac:dyDescent="0.25">
      <c r="A23" t="s">
        <v>30</v>
      </c>
      <c r="B23">
        <v>175.79</v>
      </c>
      <c r="C23">
        <v>15512</v>
      </c>
      <c r="D23">
        <v>8.4799999999999898</v>
      </c>
      <c r="E23">
        <v>698</v>
      </c>
      <c r="F23" t="s">
        <v>30</v>
      </c>
      <c r="G23">
        <v>39600</v>
      </c>
      <c r="H23" t="s">
        <v>63</v>
      </c>
      <c r="I23">
        <v>270000</v>
      </c>
    </row>
    <row r="24" spans="1:9" x14ac:dyDescent="0.25">
      <c r="A24" t="s">
        <v>31</v>
      </c>
      <c r="B24">
        <v>181.09</v>
      </c>
      <c r="C24">
        <v>16049</v>
      </c>
      <c r="D24">
        <v>5.3000000000000114</v>
      </c>
      <c r="E24">
        <v>537</v>
      </c>
      <c r="H24" t="s">
        <v>63</v>
      </c>
    </row>
    <row r="25" spans="1:9" x14ac:dyDescent="0.25">
      <c r="A25" t="s">
        <v>32</v>
      </c>
      <c r="B25">
        <v>185.09</v>
      </c>
      <c r="C25">
        <v>16614</v>
      </c>
      <c r="D25">
        <v>4</v>
      </c>
      <c r="E25">
        <v>565</v>
      </c>
      <c r="H25" t="s">
        <v>63</v>
      </c>
    </row>
    <row r="26" spans="1:9" x14ac:dyDescent="0.25">
      <c r="A26" t="s">
        <v>33</v>
      </c>
      <c r="B26">
        <v>190.68</v>
      </c>
      <c r="C26">
        <v>16989</v>
      </c>
      <c r="D26">
        <v>5.5900000000000034</v>
      </c>
      <c r="E26">
        <v>375</v>
      </c>
      <c r="F26" t="s">
        <v>33</v>
      </c>
      <c r="G26">
        <v>23400</v>
      </c>
      <c r="H26" t="s">
        <v>63</v>
      </c>
      <c r="I26">
        <v>293400</v>
      </c>
    </row>
    <row r="27" spans="1:9" x14ac:dyDescent="0.25">
      <c r="A27" t="s">
        <v>34</v>
      </c>
      <c r="B27">
        <v>196.89</v>
      </c>
      <c r="C27">
        <v>17856</v>
      </c>
      <c r="D27">
        <v>6.2099999999999804</v>
      </c>
      <c r="E27">
        <v>867</v>
      </c>
      <c r="H27" t="s">
        <v>63</v>
      </c>
    </row>
    <row r="28" spans="1:9" x14ac:dyDescent="0.25">
      <c r="A28" t="s">
        <v>35</v>
      </c>
      <c r="B28">
        <v>204</v>
      </c>
      <c r="C28">
        <v>17983</v>
      </c>
      <c r="D28">
        <v>7.1100000000000136</v>
      </c>
      <c r="E28">
        <v>127</v>
      </c>
      <c r="F28" t="s">
        <v>35</v>
      </c>
      <c r="G28">
        <v>12600</v>
      </c>
      <c r="H28" t="s">
        <v>63</v>
      </c>
      <c r="I28">
        <v>306000</v>
      </c>
    </row>
    <row r="29" spans="1:9" x14ac:dyDescent="0.25">
      <c r="A29" t="s">
        <v>36</v>
      </c>
      <c r="B29">
        <v>204</v>
      </c>
      <c r="C29">
        <v>17983</v>
      </c>
      <c r="D29">
        <v>0</v>
      </c>
      <c r="E29">
        <v>0</v>
      </c>
      <c r="F29" t="s">
        <v>36</v>
      </c>
      <c r="G29">
        <v>7200</v>
      </c>
      <c r="H29" t="s">
        <v>64</v>
      </c>
      <c r="I29">
        <v>313200</v>
      </c>
    </row>
    <row r="30" spans="1:9" x14ac:dyDescent="0.25">
      <c r="A30" t="s">
        <v>37</v>
      </c>
      <c r="B30">
        <v>209.08</v>
      </c>
      <c r="C30">
        <v>18515</v>
      </c>
      <c r="D30">
        <v>5.0800000000000134</v>
      </c>
      <c r="E30">
        <v>532</v>
      </c>
      <c r="H30" t="s">
        <v>65</v>
      </c>
    </row>
    <row r="31" spans="1:9" x14ac:dyDescent="0.25">
      <c r="A31" t="s">
        <v>38</v>
      </c>
      <c r="B31">
        <v>220.98</v>
      </c>
      <c r="C31">
        <v>19674</v>
      </c>
      <c r="D31">
        <v>11.899999999999981</v>
      </c>
      <c r="E31">
        <v>1159</v>
      </c>
      <c r="F31" t="s">
        <v>38</v>
      </c>
      <c r="G31">
        <v>43200</v>
      </c>
      <c r="H31" t="s">
        <v>65</v>
      </c>
      <c r="I31">
        <v>356400</v>
      </c>
    </row>
    <row r="32" spans="1:9" x14ac:dyDescent="0.25">
      <c r="A32" t="s">
        <v>39</v>
      </c>
      <c r="B32">
        <v>228.78</v>
      </c>
      <c r="C32">
        <v>20722</v>
      </c>
      <c r="D32">
        <v>7.8000000000000114</v>
      </c>
      <c r="E32">
        <v>1048</v>
      </c>
      <c r="H32" t="s">
        <v>65</v>
      </c>
    </row>
    <row r="33" spans="1:9" x14ac:dyDescent="0.25">
      <c r="A33" t="s">
        <v>40</v>
      </c>
      <c r="B33">
        <v>237.62</v>
      </c>
      <c r="C33">
        <v>21077</v>
      </c>
      <c r="D33">
        <v>8.8400000000000034</v>
      </c>
      <c r="E33">
        <v>355</v>
      </c>
      <c r="F33" t="s">
        <v>40</v>
      </c>
      <c r="G33">
        <v>21600</v>
      </c>
      <c r="H33" t="s">
        <v>65</v>
      </c>
      <c r="I33">
        <v>378000</v>
      </c>
    </row>
    <row r="34" spans="1:9" x14ac:dyDescent="0.25">
      <c r="A34" t="s">
        <v>41</v>
      </c>
      <c r="B34">
        <v>237.62</v>
      </c>
      <c r="C34">
        <v>21077</v>
      </c>
      <c r="D34">
        <v>0</v>
      </c>
      <c r="E34">
        <v>0</v>
      </c>
      <c r="F34" t="s">
        <v>41</v>
      </c>
      <c r="G34">
        <v>7200</v>
      </c>
      <c r="H34" t="s">
        <v>66</v>
      </c>
      <c r="I34">
        <v>385200</v>
      </c>
    </row>
    <row r="35" spans="1:9" x14ac:dyDescent="0.25">
      <c r="A35" t="s">
        <v>42</v>
      </c>
      <c r="B35">
        <v>242.5</v>
      </c>
      <c r="C35">
        <v>21912</v>
      </c>
      <c r="D35">
        <v>4.8799999999999946</v>
      </c>
      <c r="E35">
        <v>835</v>
      </c>
      <c r="H35" t="s">
        <v>67</v>
      </c>
    </row>
    <row r="36" spans="1:9" x14ac:dyDescent="0.25">
      <c r="A36" t="s">
        <v>43</v>
      </c>
      <c r="B36">
        <v>247.51</v>
      </c>
      <c r="C36">
        <v>22323</v>
      </c>
      <c r="D36">
        <v>5.0099999999999909</v>
      </c>
      <c r="E36">
        <v>411</v>
      </c>
      <c r="H36" t="s">
        <v>67</v>
      </c>
    </row>
    <row r="37" spans="1:9" x14ac:dyDescent="0.25">
      <c r="A37" t="s">
        <v>44</v>
      </c>
      <c r="B37">
        <v>255.96</v>
      </c>
      <c r="C37">
        <v>22956</v>
      </c>
      <c r="D37">
        <v>8.4500000000000171</v>
      </c>
      <c r="E37">
        <v>633</v>
      </c>
      <c r="H37" t="s">
        <v>67</v>
      </c>
    </row>
    <row r="38" spans="1:9" x14ac:dyDescent="0.25">
      <c r="A38" t="s">
        <v>45</v>
      </c>
      <c r="B38">
        <v>259.41000000000003</v>
      </c>
      <c r="C38">
        <v>23639</v>
      </c>
      <c r="D38">
        <v>3.4500000000000171</v>
      </c>
      <c r="E38">
        <v>683</v>
      </c>
      <c r="H38" t="s">
        <v>67</v>
      </c>
    </row>
    <row r="39" spans="1:9" x14ac:dyDescent="0.25">
      <c r="A39" t="s">
        <v>46</v>
      </c>
      <c r="B39">
        <v>264</v>
      </c>
      <c r="C39">
        <v>24029</v>
      </c>
      <c r="D39">
        <v>4.589999999999975</v>
      </c>
      <c r="E39">
        <v>390</v>
      </c>
      <c r="H39" t="s">
        <v>67</v>
      </c>
    </row>
    <row r="40" spans="1:9" x14ac:dyDescent="0.25">
      <c r="A40" t="s">
        <v>70</v>
      </c>
      <c r="B40">
        <v>273.8</v>
      </c>
      <c r="C40">
        <v>24283</v>
      </c>
      <c r="D40">
        <f>(B40-B39)</f>
        <v>9.8000000000000114</v>
      </c>
      <c r="E40">
        <f>(C40-C39)</f>
        <v>254</v>
      </c>
      <c r="H40" t="s">
        <v>67</v>
      </c>
    </row>
    <row r="41" spans="1:9" x14ac:dyDescent="0.25">
      <c r="A41" t="s">
        <v>47</v>
      </c>
      <c r="B41">
        <v>277.83</v>
      </c>
      <c r="C41">
        <v>25178</v>
      </c>
      <c r="D41">
        <f>(B41-B40)</f>
        <v>4.0299999999999727</v>
      </c>
      <c r="E41">
        <f>(C41-C40)</f>
        <v>895</v>
      </c>
      <c r="H41" t="s">
        <v>67</v>
      </c>
    </row>
    <row r="42" spans="1:9" x14ac:dyDescent="0.25">
      <c r="A42" t="s">
        <v>48</v>
      </c>
      <c r="B42">
        <v>285.66000000000003</v>
      </c>
      <c r="C42">
        <v>25702</v>
      </c>
      <c r="D42">
        <v>7.8300000000000409</v>
      </c>
      <c r="E42">
        <v>524</v>
      </c>
      <c r="F42" t="s">
        <v>48</v>
      </c>
      <c r="G42">
        <v>18000</v>
      </c>
      <c r="H42" t="s">
        <v>67</v>
      </c>
      <c r="I42">
        <v>403200</v>
      </c>
    </row>
    <row r="43" spans="1:9" x14ac:dyDescent="0.25">
      <c r="A43" t="s">
        <v>49</v>
      </c>
      <c r="B43">
        <v>285.66000000000003</v>
      </c>
      <c r="C43">
        <v>25702</v>
      </c>
      <c r="D43">
        <v>0</v>
      </c>
      <c r="E43">
        <v>0</v>
      </c>
      <c r="F43" t="s">
        <v>49</v>
      </c>
      <c r="G43">
        <v>7200</v>
      </c>
      <c r="H43" t="s">
        <v>68</v>
      </c>
      <c r="I43">
        <v>410400</v>
      </c>
    </row>
    <row r="44" spans="1:9" x14ac:dyDescent="0.25">
      <c r="A44" t="s">
        <v>50</v>
      </c>
      <c r="B44">
        <v>290.3</v>
      </c>
      <c r="C44">
        <v>26763</v>
      </c>
      <c r="D44">
        <v>4.6399999999999864</v>
      </c>
      <c r="E44">
        <v>1061</v>
      </c>
      <c r="H44" t="s">
        <v>69</v>
      </c>
    </row>
    <row r="45" spans="1:9" x14ac:dyDescent="0.25">
      <c r="A45" t="s">
        <v>51</v>
      </c>
      <c r="B45">
        <v>296.86</v>
      </c>
      <c r="C45">
        <v>27181</v>
      </c>
      <c r="D45">
        <v>6.5600000000000023</v>
      </c>
      <c r="E45">
        <v>418</v>
      </c>
      <c r="H45" t="s">
        <v>69</v>
      </c>
    </row>
    <row r="46" spans="1:9" x14ac:dyDescent="0.25">
      <c r="A46" t="s">
        <v>52</v>
      </c>
      <c r="B46">
        <v>306.98</v>
      </c>
      <c r="C46">
        <v>27503</v>
      </c>
      <c r="D46">
        <v>10.119999999999999</v>
      </c>
      <c r="E46">
        <v>322</v>
      </c>
      <c r="H46" t="s">
        <v>69</v>
      </c>
    </row>
    <row r="47" spans="1:9" x14ac:dyDescent="0.25">
      <c r="A47" t="s">
        <v>53</v>
      </c>
      <c r="B47">
        <v>316.08999999999997</v>
      </c>
      <c r="C47">
        <v>28667</v>
      </c>
      <c r="D47">
        <v>9.1099999999999568</v>
      </c>
      <c r="E47">
        <v>1164</v>
      </c>
      <c r="H47" t="s">
        <v>69</v>
      </c>
    </row>
    <row r="48" spans="1:9" x14ac:dyDescent="0.25">
      <c r="A48" t="s">
        <v>54</v>
      </c>
      <c r="B48">
        <v>321.93</v>
      </c>
      <c r="C48">
        <v>29257</v>
      </c>
      <c r="D48">
        <v>5.8400000000000318</v>
      </c>
      <c r="E48">
        <v>590</v>
      </c>
      <c r="H48" t="s">
        <v>69</v>
      </c>
    </row>
    <row r="49" spans="1:9" x14ac:dyDescent="0.25">
      <c r="A49" t="s">
        <v>55</v>
      </c>
      <c r="B49">
        <v>330.71</v>
      </c>
      <c r="C49">
        <v>29567</v>
      </c>
      <c r="D49">
        <v>8.7799999999999727</v>
      </c>
      <c r="E49">
        <v>310</v>
      </c>
      <c r="H49" t="s">
        <v>69</v>
      </c>
    </row>
    <row r="50" spans="1:9" x14ac:dyDescent="0.25">
      <c r="A50" t="s">
        <v>56</v>
      </c>
      <c r="B50">
        <v>335.32</v>
      </c>
      <c r="C50">
        <v>29608</v>
      </c>
      <c r="D50">
        <v>4.6100000000000136</v>
      </c>
      <c r="E50">
        <v>41</v>
      </c>
      <c r="F50" t="s">
        <v>56</v>
      </c>
      <c r="G50">
        <v>75600</v>
      </c>
      <c r="H50" t="s">
        <v>69</v>
      </c>
      <c r="I50">
        <v>486000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Karina Jonina</cp:lastModifiedBy>
  <dcterms:created xsi:type="dcterms:W3CDTF">2025-02-06T09:25:22Z</dcterms:created>
  <dcterms:modified xsi:type="dcterms:W3CDTF">2025-07-12T18:49:16Z</dcterms:modified>
</cp:coreProperties>
</file>